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4"/>
  <workbookPr/>
  <mc:AlternateContent xmlns:mc="http://schemas.openxmlformats.org/markup-compatibility/2006">
    <mc:Choice Requires="x15">
      <x15ac:absPath xmlns:x15ac="http://schemas.microsoft.com/office/spreadsheetml/2010/11/ac" url="/Users/patricia_imac/Dropbox/Elder.com 2015/Correspondences/DAILY USE/NTFL/"/>
    </mc:Choice>
  </mc:AlternateContent>
  <xr:revisionPtr revIDLastSave="0" documentId="8_{B0C3E645-E5C2-8E4A-B71A-6342653994BC}" xr6:coauthVersionLast="47" xr6:coauthVersionMax="47" xr10:uidLastSave="{00000000-0000-0000-0000-000000000000}"/>
  <bookViews>
    <workbookView xWindow="0" yWindow="500" windowWidth="28800" windowHeight="18000" tabRatio="500" activeTab="1" xr2:uid="{00000000-000D-0000-FFFF-FFFF00000000}"/>
  </bookViews>
  <sheets>
    <sheet name="Daily" sheetId="3" r:id="rId1"/>
    <sheet name="TradeSca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0" i="1" l="1"/>
  <c r="O30" i="1" s="1"/>
  <c r="P30" i="1" s="1"/>
  <c r="M28" i="1"/>
  <c r="O28" i="1" s="1"/>
  <c r="P28" i="1" s="1"/>
  <c r="M25" i="1" l="1"/>
  <c r="O25" i="1" s="1"/>
  <c r="P25" i="1" s="1"/>
  <c r="M23" i="1"/>
  <c r="O23" i="1" s="1"/>
  <c r="P23" i="1" s="1"/>
  <c r="M21" i="1" l="1"/>
  <c r="O21" i="1" s="1"/>
  <c r="P21" i="1" s="1"/>
  <c r="M17" i="1"/>
  <c r="O17" i="1" s="1"/>
  <c r="P17" i="1" s="1"/>
  <c r="M13" i="1"/>
  <c r="O13" i="1" s="1"/>
  <c r="P1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 Alexander Elder</author>
    <author>Dr. Alexander Elder</author>
  </authors>
  <commentList>
    <comment ref="B5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Edit Hyperlink weekly to point to the current week</t>
        </r>
      </text>
    </comment>
    <comment ref="B7" authorId="1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Alex,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Actually the decision tree looks very complete.  This said, I only trade FX futures; moreover, I generally limit myself to a single trade, or at most 6% total value-at-risk over a few small positions.  My trades usually last less than 10 minutes.  Therefore, some strategic considerations are less applicable to my trading style.  Still, I will adopt the psyche test, eventually deducting points following sessions where I am a net loser. That disrupts my equilibrium.  I am going to incorporate a few more indexes, too.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I have 3 other info sources that could be beneficial to others: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1) I check fxstreet.com for the announcements section(http://www.fxstreet.com/fundamental/economic-calendar/.) It has a good assortment of European, Asian and American announcements.  The table shows the previous announcement, expected level of the upcoming announcement, and the impact the announcement generally has on FX.  I think this is a good, user-friendly site for announcements, especially for those who don't subscribe to a news service.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2) Fxstreet.com has a subsection for technical indicators (http://www.fxstreet.com/technical/.)  It's a rough-and-ready summary of each major currency versus the dollar.  It shows what the experts think over the short and medium term.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3) fxtrade.oanda.com/analysis/currency-correlation is a site showing how all the major currencies are correlated over 6 different time frames (http://fxtrade.oanda.com/analysis/currency-correlation.)  I only use the one week, one month, and 3 month time frames.  Generally I take the Euro/Dollar as my foundation, and then I see how this pair moves relative to the other pairs.  I love correlation studies.  I did batches of these things when I studied organic chemistry. 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4) fxtrade.oanda has a table showing the overall long/short position on each major pair (http://fxtrade.oanda.com/analysis/?srccont=breadcrumb.)  The total position always adds up to 100% (i.e., if people are 45% short Yen they are, de facto, 55% long USD.) Admittedly, Oanda has a large number of retail traders (who don't know what they are doing), but it is interesting to see which way the herd is going.  It's a short-term COT.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I compare the correlation, technical, and long/short positions with my own view of the market, as shown in my triple-screen program (e-Signal.) Then I look for overbought/oversold positions that I can arbitrage, generally in the direction of the trend.  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Thanks again for a great camp. 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Take care,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LABRIE</t>
        </r>
      </text>
    </comment>
  </commentList>
</comments>
</file>

<file path=xl/sharedStrings.xml><?xml version="1.0" encoding="utf-8"?>
<sst xmlns="http://schemas.openxmlformats.org/spreadsheetml/2006/main" count="186" uniqueCount="157">
  <si>
    <t>Ticker</t>
  </si>
  <si>
    <t>Group</t>
  </si>
  <si>
    <t>Strategy</t>
  </si>
  <si>
    <t>l/s</t>
  </si>
  <si>
    <t>Earnings</t>
  </si>
  <si>
    <t>W Xover</t>
  </si>
  <si>
    <t>d Xover</t>
  </si>
  <si>
    <t>Entry</t>
  </si>
  <si>
    <t>TGT</t>
  </si>
  <si>
    <t>1-ATR</t>
  </si>
  <si>
    <t>Stop</t>
  </si>
  <si>
    <t>Risk size</t>
  </si>
  <si>
    <t>Trade Size</t>
  </si>
  <si>
    <t>expect…</t>
  </si>
  <si>
    <t>Instructions</t>
  </si>
  <si>
    <t xml:space="preserve"> </t>
  </si>
  <si>
    <t>Type in Ticker and Strategy (system), then click on F1 and fill in Group, Earnings, and Short Interest</t>
  </si>
  <si>
    <t>Type in the color of the Impulse system in col. H (weekly) and I (daily)</t>
  </si>
  <si>
    <t>Type in Entry and Target (taget on a weekly chart)</t>
  </si>
  <si>
    <t>Find ATR size on the daily chart and type it into col. L</t>
  </si>
  <si>
    <t>Create a formula for the Stop in col. M -- Entry +/- 1.5 ATR, depending on trade direction</t>
  </si>
  <si>
    <t>Type in your Risk Size for the trade</t>
  </si>
  <si>
    <t>Create a formula for Trade Size: Risk Size divided by the distance from the Entry to Stop.</t>
  </si>
  <si>
    <t>FB+D</t>
  </si>
  <si>
    <t>blue</t>
  </si>
  <si>
    <t>l</t>
  </si>
  <si>
    <t>Daily</t>
  </si>
  <si>
    <t>fri</t>
  </si>
  <si>
    <t>--</t>
  </si>
  <si>
    <t>Elder homework v5.1</t>
  </si>
  <si>
    <t>`</t>
  </si>
  <si>
    <t>Check AU and JP</t>
  </si>
  <si>
    <t>Check UK and DE</t>
  </si>
  <si>
    <t>Econ calendar Briefing.com</t>
  </si>
  <si>
    <t>movers</t>
  </si>
  <si>
    <t>Marketwatch</t>
  </si>
  <si>
    <t>Futures</t>
  </si>
  <si>
    <t>Euro</t>
  </si>
  <si>
    <t>Yen</t>
  </si>
  <si>
    <t>Oil</t>
  </si>
  <si>
    <t>Gold</t>
  </si>
  <si>
    <t>Bonds @us</t>
  </si>
  <si>
    <t>Yield Curve</t>
  </si>
  <si>
    <t>dynamic</t>
  </si>
  <si>
    <t>Baltic Dry Index</t>
  </si>
  <si>
    <t>NH-NL</t>
  </si>
  <si>
    <t>VIX</t>
  </si>
  <si>
    <t>S&amp;P500 cash</t>
  </si>
  <si>
    <t>D value</t>
  </si>
  <si>
    <t>D 13 FI</t>
  </si>
  <si>
    <t>Expectation of S&amp;P candle</t>
  </si>
  <si>
    <t>Mode: Active, Conservative, Defensive or day-trade</t>
  </si>
  <si>
    <t>Self-test</t>
  </si>
  <si>
    <t>Physical - unwell 0</t>
  </si>
  <si>
    <t>OK health, energy, sleep 1</t>
  </si>
  <si>
    <t>Brimming 2</t>
  </si>
  <si>
    <t>Losses for day 0</t>
  </si>
  <si>
    <t>Prior day mixed or no trade 1</t>
  </si>
  <si>
    <t>win for the day 2</t>
  </si>
  <si>
    <t>Not prepared 0</t>
  </si>
  <si>
    <t>Middling prepared 1</t>
  </si>
  <si>
    <t>Very prepared 2</t>
  </si>
  <si>
    <t>Bad mood 0</t>
  </si>
  <si>
    <t>Mood middling: 1</t>
  </si>
  <si>
    <t>Great mood 2</t>
  </si>
  <si>
    <t>Very busy 0</t>
  </si>
  <si>
    <t>Plate normally busy 1</t>
  </si>
  <si>
    <t>Plate sparse 2</t>
  </si>
  <si>
    <t>1-2-3-4 NO trade</t>
  </si>
  <si>
    <t>5-6 AND 9-10 Caution</t>
  </si>
  <si>
    <t>7-8 Good</t>
  </si>
  <si>
    <t>Right-click column E, choose Insert, then click on the paintrush and select Format Same as Right</t>
  </si>
  <si>
    <t>Copy F:29 and paste into E:29</t>
  </si>
  <si>
    <t>Edit cell C:5 every weekend to point to the current week</t>
  </si>
  <si>
    <t>Resources</t>
  </si>
  <si>
    <t xml:space="preserve">www.Finviz.com </t>
  </si>
  <si>
    <t xml:space="preserve">www.Earnings.com </t>
  </si>
  <si>
    <t xml:space="preserve">www.Briefing.com </t>
  </si>
  <si>
    <t>www.dividend.com</t>
  </si>
  <si>
    <t>mon</t>
  </si>
  <si>
    <t>def</t>
  </si>
  <si>
    <t>green</t>
  </si>
  <si>
    <t>s</t>
  </si>
  <si>
    <t>MACD scan</t>
  </si>
  <si>
    <t>PKI</t>
  </si>
  <si>
    <t>med labs</t>
  </si>
  <si>
    <t>Brazil</t>
  </si>
  <si>
    <t>CIG</t>
  </si>
  <si>
    <t>El Util</t>
  </si>
  <si>
    <t>wed</t>
  </si>
  <si>
    <t>tue</t>
  </si>
  <si>
    <t>up .1 / .4</t>
  </si>
  <si>
    <t>0 / up .3</t>
  </si>
  <si>
    <t xml:space="preserve"> d .1 / up .8</t>
  </si>
  <si>
    <t>up .5 / .8</t>
  </si>
  <si>
    <t>down .2</t>
  </si>
  <si>
    <t>up .7 / .1</t>
  </si>
  <si>
    <t>down .3</t>
  </si>
  <si>
    <t>up 1.1 / .6</t>
  </si>
  <si>
    <t>FOMC</t>
  </si>
  <si>
    <t>both sides of the mouth</t>
  </si>
  <si>
    <t>bullish on oil</t>
  </si>
  <si>
    <t>bullish on gold</t>
  </si>
  <si>
    <t>bullish</t>
  </si>
  <si>
    <t>1.181 g/b</t>
  </si>
  <si>
    <t>1.186 g/g</t>
  </si>
  <si>
    <t>1.18 r/b</t>
  </si>
  <si>
    <t>1.183 g/g</t>
  </si>
  <si>
    <t>89 r/b</t>
  </si>
  <si>
    <t>89.2 r/b</t>
  </si>
  <si>
    <t>89.3 r/b</t>
  </si>
  <si>
    <t>89.3 r/r</t>
  </si>
  <si>
    <t>71.8 g/b</t>
  </si>
  <si>
    <t>72.5 g/g</t>
  </si>
  <si>
    <t>72 b/g</t>
  </si>
  <si>
    <t>70.9 g/g</t>
  </si>
  <si>
    <t>1200 b/r</t>
  </si>
  <si>
    <t>1207 b/g</t>
  </si>
  <si>
    <t>1203 r/r</t>
  </si>
  <si>
    <t>139,28 r/b</t>
  </si>
  <si>
    <t>140.9 r/b</t>
  </si>
  <si>
    <t>tail flatter</t>
  </si>
  <si>
    <t xml:space="preserve"> 51 / 332</t>
  </si>
  <si>
    <t xml:space="preserve"> 20 / 317</t>
  </si>
  <si>
    <t xml:space="preserve"> 116 / 317</t>
  </si>
  <si>
    <t xml:space="preserve"> 90 / 316</t>
  </si>
  <si>
    <t>12.3 b/b</t>
  </si>
  <si>
    <t>12 r/b</t>
  </si>
  <si>
    <t>11.9 r/r</t>
  </si>
  <si>
    <t>2916 b/b</t>
  </si>
  <si>
    <t>2919 b/b</t>
  </si>
  <si>
    <t>2930 g/g</t>
  </si>
  <si>
    <t>2931 g/g</t>
  </si>
  <si>
    <t>cl &gt; val</t>
  </si>
  <si>
    <t>cl bet +1/2atr</t>
  </si>
  <si>
    <t>cl @ +2atr</t>
  </si>
  <si>
    <t>cl &gt; +2 atr</t>
  </si>
  <si>
    <t>pos</t>
  </si>
  <si>
    <t>active</t>
  </si>
  <si>
    <t>Telecom svcs</t>
  </si>
  <si>
    <t>CTL</t>
  </si>
  <si>
    <t>2/13 AMC</t>
  </si>
  <si>
    <t>Short float</t>
  </si>
  <si>
    <t>blue &gt; 13.79</t>
  </si>
  <si>
    <t>blue &gt; 14.12</t>
  </si>
  <si>
    <t>SGH</t>
  </si>
  <si>
    <t>Semicond</t>
  </si>
  <si>
    <t>ZS</t>
  </si>
  <si>
    <t>Sec soft</t>
  </si>
  <si>
    <t>2/28 AMC</t>
  </si>
  <si>
    <t>blue &lt; 49.12</t>
  </si>
  <si>
    <t>ADBE</t>
  </si>
  <si>
    <t>App soft</t>
  </si>
  <si>
    <t>red</t>
  </si>
  <si>
    <t>GWW</t>
  </si>
  <si>
    <t>Ind equip</t>
  </si>
  <si>
    <t>blue &gt; 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</si>
</sst>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&quot;$&quot;#,##0"/>
    <numFmt numFmtId="166" formatCode="#,##0;[Red]#,##0"/>
    <numFmt numFmtId="167" formatCode="m/d/yy;@"/>
  </numFmts>
  <fonts count="1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0"/>
      <name val="Arial"/>
      <family val="2"/>
    </font>
    <font>
      <b/>
      <sz val="10"/>
      <color rgb="FFFFFF00"/>
      <name val="Arial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0"/>
      <color theme="5" tint="-0.499984740745262"/>
      <name val="Arial"/>
      <family val="2"/>
    </font>
    <font>
      <b/>
      <sz val="10"/>
      <color rgb="FFFFFFFF"/>
      <name val="Arial"/>
      <family val="2"/>
    </font>
    <font>
      <b/>
      <sz val="11"/>
      <color rgb="FF375623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rgb="FF44546A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833C0C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E0E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14" fontId="2" fillId="2" borderId="0" xfId="0" applyNumberFormat="1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 applyAlignment="1">
      <alignment horizontal="center"/>
    </xf>
    <xf numFmtId="2" fontId="2" fillId="2" borderId="0" xfId="0" applyNumberFormat="1" applyFont="1" applyFill="1" applyAlignment="1">
      <alignment horizontal="center"/>
    </xf>
    <xf numFmtId="10" fontId="2" fillId="3" borderId="0" xfId="0" applyNumberFormat="1" applyFont="1" applyFill="1" applyAlignment="1">
      <alignment horizontal="center"/>
    </xf>
    <xf numFmtId="2" fontId="2" fillId="2" borderId="0" xfId="0" applyNumberFormat="1" applyFont="1" applyFill="1"/>
    <xf numFmtId="10" fontId="2" fillId="2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0" fontId="2" fillId="2" borderId="0" xfId="0" applyNumberFormat="1" applyFont="1" applyFill="1"/>
    <xf numFmtId="165" fontId="2" fillId="4" borderId="0" xfId="0" applyNumberFormat="1" applyFont="1" applyFill="1"/>
    <xf numFmtId="166" fontId="2" fillId="2" borderId="0" xfId="0" applyNumberFormat="1" applyFont="1" applyFill="1"/>
    <xf numFmtId="165" fontId="4" fillId="2" borderId="0" xfId="0" applyNumberFormat="1" applyFont="1" applyFill="1"/>
    <xf numFmtId="0" fontId="3" fillId="0" borderId="0" xfId="0" applyFont="1"/>
    <xf numFmtId="0" fontId="0" fillId="0" borderId="0" xfId="0" applyFont="1" applyFill="1" applyBorder="1" applyAlignment="1">
      <alignment horizontal="center"/>
    </xf>
    <xf numFmtId="9" fontId="0" fillId="6" borderId="0" xfId="0" applyNumberFormat="1" applyFill="1"/>
    <xf numFmtId="49" fontId="3" fillId="0" borderId="0" xfId="0" applyNumberFormat="1" applyFont="1"/>
    <xf numFmtId="10" fontId="3" fillId="0" borderId="0" xfId="0" applyNumberFormat="1" applyFont="1"/>
    <xf numFmtId="0" fontId="0" fillId="0" borderId="0" xfId="0" applyBorder="1"/>
    <xf numFmtId="0" fontId="0" fillId="8" borderId="0" xfId="0" applyFill="1" applyBorder="1"/>
    <xf numFmtId="0" fontId="6" fillId="0" borderId="0" xfId="0" applyFont="1"/>
    <xf numFmtId="0" fontId="8" fillId="5" borderId="2" xfId="0" applyFont="1" applyFill="1" applyBorder="1" applyAlignment="1">
      <alignment horizontal="center"/>
    </xf>
    <xf numFmtId="167" fontId="9" fillId="0" borderId="0" xfId="0" applyNumberFormat="1" applyFont="1"/>
    <xf numFmtId="167" fontId="0" fillId="0" borderId="0" xfId="0" applyNumberFormat="1"/>
    <xf numFmtId="0" fontId="10" fillId="0" borderId="0" xfId="0" applyFont="1"/>
    <xf numFmtId="0" fontId="11" fillId="0" borderId="0" xfId="1" applyAlignment="1" applyProtection="1">
      <alignment horizontal="left" indent="1"/>
    </xf>
    <xf numFmtId="0" fontId="11" fillId="0" borderId="0" xfId="1" applyFont="1" applyAlignment="1" applyProtection="1"/>
    <xf numFmtId="0" fontId="11" fillId="0" borderId="0" xfId="1" applyAlignment="1" applyProtection="1"/>
    <xf numFmtId="0" fontId="0" fillId="0" borderId="0" xfId="0" applyAlignment="1">
      <alignment horizontal="left" indent="1"/>
    </xf>
    <xf numFmtId="14" fontId="10" fillId="0" borderId="0" xfId="0" applyNumberFormat="1" applyFont="1"/>
    <xf numFmtId="3" fontId="10" fillId="0" borderId="0" xfId="0" applyNumberFormat="1" applyFont="1"/>
    <xf numFmtId="3" fontId="11" fillId="0" borderId="0" xfId="1" applyNumberFormat="1" applyAlignment="1" applyProtection="1">
      <alignment horizontal="left" indent="1"/>
    </xf>
    <xf numFmtId="3" fontId="0" fillId="0" borderId="0" xfId="0" applyNumberFormat="1"/>
    <xf numFmtId="0" fontId="9" fillId="0" borderId="0" xfId="0" applyFont="1" applyAlignment="1">
      <alignment horizontal="left" indent="1"/>
    </xf>
    <xf numFmtId="0" fontId="9" fillId="0" borderId="0" xfId="0" applyFont="1"/>
    <xf numFmtId="0" fontId="9" fillId="0" borderId="0" xfId="0" applyFont="1" applyAlignment="1">
      <alignment horizontal="left" indent="2"/>
    </xf>
    <xf numFmtId="0" fontId="7" fillId="0" borderId="0" xfId="0" applyFont="1"/>
    <xf numFmtId="0" fontId="0" fillId="0" borderId="0" xfId="0" applyFill="1"/>
    <xf numFmtId="0" fontId="8" fillId="0" borderId="3" xfId="0" applyFont="1" applyFill="1" applyBorder="1" applyAlignment="1">
      <alignment horizontal="center"/>
    </xf>
    <xf numFmtId="0" fontId="9" fillId="10" borderId="4" xfId="0" applyFont="1" applyFill="1" applyBorder="1"/>
    <xf numFmtId="0" fontId="0" fillId="11" borderId="5" xfId="0" applyFill="1" applyBorder="1" applyAlignment="1">
      <alignment horizontal="left" indent="1"/>
    </xf>
    <xf numFmtId="0" fontId="0" fillId="12" borderId="6" xfId="0" applyFill="1" applyBorder="1" applyAlignment="1">
      <alignment horizontal="left" indent="1"/>
    </xf>
    <xf numFmtId="0" fontId="0" fillId="10" borderId="7" xfId="0" applyFont="1" applyFill="1" applyBorder="1"/>
    <xf numFmtId="0" fontId="9" fillId="11" borderId="8" xfId="0" applyFont="1" applyFill="1" applyBorder="1" applyAlignment="1">
      <alignment horizontal="left" indent="1"/>
    </xf>
    <xf numFmtId="0" fontId="9" fillId="12" borderId="9" xfId="0" applyFont="1" applyFill="1" applyBorder="1" applyAlignment="1">
      <alignment horizontal="left" indent="1"/>
    </xf>
    <xf numFmtId="0" fontId="9" fillId="10" borderId="7" xfId="0" applyFont="1" applyFill="1" applyBorder="1"/>
    <xf numFmtId="0" fontId="0" fillId="12" borderId="9" xfId="0" applyFill="1" applyBorder="1" applyAlignment="1">
      <alignment horizontal="left" indent="1"/>
    </xf>
    <xf numFmtId="0" fontId="9" fillId="10" borderId="10" xfId="0" applyFont="1" applyFill="1" applyBorder="1"/>
    <xf numFmtId="0" fontId="9" fillId="11" borderId="11" xfId="0" applyFont="1" applyFill="1" applyBorder="1" applyAlignment="1">
      <alignment horizontal="left" indent="1"/>
    </xf>
    <xf numFmtId="0" fontId="9" fillId="12" borderId="12" xfId="0" applyFont="1" applyFill="1" applyBorder="1" applyAlignment="1">
      <alignment horizontal="left" indent="1"/>
    </xf>
    <xf numFmtId="0" fontId="8" fillId="13" borderId="2" xfId="0" applyFont="1" applyFill="1" applyBorder="1" applyAlignment="1">
      <alignment horizontal="center"/>
    </xf>
    <xf numFmtId="0" fontId="12" fillId="7" borderId="13" xfId="0" applyFont="1" applyFill="1" applyBorder="1" applyAlignment="1">
      <alignment horizontal="center"/>
    </xf>
    <xf numFmtId="0" fontId="8" fillId="9" borderId="14" xfId="0" applyFont="1" applyFill="1" applyBorder="1" applyAlignment="1">
      <alignment horizontal="center"/>
    </xf>
    <xf numFmtId="0" fontId="11" fillId="0" borderId="0" xfId="1" applyAlignment="1" applyProtection="1">
      <alignment vertical="center"/>
    </xf>
    <xf numFmtId="0" fontId="0" fillId="0" borderId="0" xfId="0" applyAlignment="1">
      <alignment horizontal="left"/>
    </xf>
    <xf numFmtId="16" fontId="0" fillId="0" borderId="0" xfId="0" applyNumberFormat="1" applyFill="1"/>
    <xf numFmtId="16" fontId="7" fillId="14" borderId="0" xfId="0" applyNumberFormat="1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167" fontId="13" fillId="16" borderId="0" xfId="0" applyNumberFormat="1" applyFont="1" applyFill="1" applyAlignment="1">
      <alignment horizontal="center"/>
    </xf>
    <xf numFmtId="3" fontId="3" fillId="15" borderId="0" xfId="0" applyNumberFormat="1" applyFont="1" applyFill="1" applyAlignment="1">
      <alignment horizontal="center"/>
    </xf>
    <xf numFmtId="20" fontId="3" fillId="0" borderId="0" xfId="0" applyNumberFormat="1" applyFont="1"/>
    <xf numFmtId="0" fontId="3" fillId="17" borderId="0" xfId="0" applyFont="1" applyFill="1" applyAlignment="1">
      <alignment horizontal="center"/>
    </xf>
    <xf numFmtId="0" fontId="14" fillId="18" borderId="1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9" fontId="0" fillId="0" borderId="0" xfId="0" applyNumberFormat="1" applyFill="1"/>
    <xf numFmtId="0" fontId="1" fillId="0" borderId="0" xfId="0" applyFont="1" applyFill="1"/>
    <xf numFmtId="4" fontId="0" fillId="0" borderId="0" xfId="0" applyNumberFormat="1" applyFill="1"/>
    <xf numFmtId="165" fontId="0" fillId="0" borderId="0" xfId="0" applyNumberFormat="1" applyFill="1"/>
    <xf numFmtId="165" fontId="5" fillId="0" borderId="0" xfId="0" applyNumberFormat="1" applyFont="1" applyFill="1"/>
    <xf numFmtId="164" fontId="6" fillId="0" borderId="0" xfId="0" applyNumberFormat="1" applyFont="1" applyFill="1"/>
    <xf numFmtId="166" fontId="0" fillId="0" borderId="0" xfId="0" applyNumberFormat="1" applyFont="1" applyFill="1"/>
    <xf numFmtId="166" fontId="0" fillId="0" borderId="0" xfId="0" applyNumberFormat="1" applyFill="1"/>
    <xf numFmtId="14" fontId="2" fillId="20" borderId="0" xfId="0" applyNumberFormat="1" applyFont="1" applyFill="1"/>
    <xf numFmtId="16" fontId="0" fillId="10" borderId="0" xfId="0" applyNumberFormat="1" applyFill="1"/>
    <xf numFmtId="0" fontId="14" fillId="18" borderId="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4">
    <dxf>
      <fill>
        <patternFill>
          <bgColor indexed="53"/>
        </patternFill>
      </fill>
    </dxf>
    <dxf>
      <fill>
        <patternFill>
          <bgColor indexed="11"/>
        </patternFill>
      </fill>
    </dxf>
    <dxf>
      <fill>
        <patternFill>
          <bgColor indexed="53"/>
        </patternFill>
      </fill>
    </dxf>
    <dxf>
      <fill>
        <patternFill>
          <bgColor indexed="11"/>
        </patternFill>
      </fill>
    </dxf>
    <dxf>
      <fill>
        <patternFill>
          <bgColor indexed="53"/>
        </patternFill>
      </fill>
    </dxf>
    <dxf>
      <fill>
        <patternFill>
          <bgColor indexed="11"/>
        </patternFill>
      </fill>
    </dxf>
    <dxf>
      <fill>
        <patternFill>
          <bgColor indexed="53"/>
        </patternFill>
      </fill>
    </dxf>
    <dxf>
      <fill>
        <patternFill>
          <bgColor indexed="11"/>
        </patternFill>
      </fill>
    </dxf>
    <dxf>
      <fill>
        <patternFill>
          <bgColor indexed="53"/>
        </patternFill>
      </fill>
    </dxf>
    <dxf>
      <fill>
        <patternFill>
          <bgColor indexed="11"/>
        </patternFill>
      </fill>
    </dxf>
    <dxf>
      <fill>
        <patternFill>
          <bgColor indexed="53"/>
        </patternFill>
      </fill>
    </dxf>
    <dxf>
      <fill>
        <patternFill>
          <bgColor indexed="11"/>
        </patternFill>
      </fill>
    </dxf>
    <dxf>
      <fill>
        <patternFill>
          <bgColor indexed="53"/>
        </patternFill>
      </fill>
    </dxf>
    <dxf>
      <fill>
        <patternFill>
          <bgColor indexed="11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" Type="http://schemas.openxmlformats.org/officeDocument/2006/relationships/customXml" Target="../ink/ink1.xml"/><Relationship Id="rId9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188205</xdr:colOff>
      <xdr:row>31</xdr:row>
      <xdr:rowOff>0</xdr:rowOff>
    </xdr:from>
    <xdr:to>
      <xdr:col>6</xdr:col>
      <xdr:colOff>188565</xdr:colOff>
      <xdr:row>31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107AA3A1-099E-054E-96AE-BD9DEA62C03C}"/>
                </a:ext>
              </a:extLst>
            </xdr14:cNvPr>
            <xdr14:cNvContentPartPr/>
          </xdr14:nvContentPartPr>
          <xdr14:nvPr macro=""/>
          <xdr14:xfrm>
            <a:off x="4573440" y="735336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107AA3A1-099E-054E-96AE-BD9DEA62C03C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564440" y="7344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343718</xdr:colOff>
      <xdr:row>27</xdr:row>
      <xdr:rowOff>112701</xdr:rowOff>
    </xdr:from>
    <xdr:to>
      <xdr:col>13</xdr:col>
      <xdr:colOff>344078</xdr:colOff>
      <xdr:row>27</xdr:row>
      <xdr:rowOff>113061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2E345518-264B-BA43-AC01-02E6DE9243BC}"/>
                </a:ext>
              </a:extLst>
            </xdr14:cNvPr>
            <xdr14:cNvContentPartPr/>
          </xdr14:nvContentPartPr>
          <xdr14:nvPr macro=""/>
          <xdr14:xfrm>
            <a:off x="10533600" y="555876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2E345518-264B-BA43-AC01-02E6DE9243BC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524960" y="55501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19-06-01T21:55:42.4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19-06-01T21:58:22.5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tockcharts.com/freecharts/yieldcurve.html" TargetMode="External"/><Relationship Id="rId13" Type="http://schemas.openxmlformats.org/officeDocument/2006/relationships/hyperlink" Target="http://www.insidefutures.com/calendar/" TargetMode="External"/><Relationship Id="rId3" Type="http://schemas.openxmlformats.org/officeDocument/2006/relationships/hyperlink" Target="http://finance.yahoo.com/" TargetMode="External"/><Relationship Id="rId7" Type="http://schemas.openxmlformats.org/officeDocument/2006/relationships/hyperlink" Target="http://www.briefing.com/" TargetMode="External"/><Relationship Id="rId12" Type="http://schemas.openxmlformats.org/officeDocument/2006/relationships/hyperlink" Target="https://www.nordnet.dk/mux/web/marknaden/varlden/karta.html" TargetMode="External"/><Relationship Id="rId17" Type="http://schemas.openxmlformats.org/officeDocument/2006/relationships/comments" Target="../comments1.xml"/><Relationship Id="rId2" Type="http://schemas.openxmlformats.org/officeDocument/2006/relationships/hyperlink" Target="http://www.treasury.gov/resource-center/data-chart-center/interest-rates/Pages/Historic-Yield-Data-Visualization.aspx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http://fxtrade.oanda.com/analysis/?srccont=breadcrumb" TargetMode="External"/><Relationship Id="rId6" Type="http://schemas.openxmlformats.org/officeDocument/2006/relationships/hyperlink" Target="http://www.earnings.com/" TargetMode="External"/><Relationship Id="rId11" Type="http://schemas.openxmlformats.org/officeDocument/2006/relationships/hyperlink" Target="http://www.marketwatch.com/" TargetMode="External"/><Relationship Id="rId5" Type="http://schemas.openxmlformats.org/officeDocument/2006/relationships/hyperlink" Target="http://www.finviz.com/" TargetMode="External"/><Relationship Id="rId15" Type="http://schemas.openxmlformats.org/officeDocument/2006/relationships/hyperlink" Target="https://elite.finviz.com/calendar.ashx" TargetMode="External"/><Relationship Id="rId10" Type="http://schemas.openxmlformats.org/officeDocument/2006/relationships/hyperlink" Target="http://finance.yahoo.com/world-indices" TargetMode="External"/><Relationship Id="rId4" Type="http://schemas.openxmlformats.org/officeDocument/2006/relationships/hyperlink" Target="http://www.bloomberg.com/quote/BDIY:IND/chart" TargetMode="External"/><Relationship Id="rId9" Type="http://schemas.openxmlformats.org/officeDocument/2006/relationships/hyperlink" Target="http://www.dividend.com/" TargetMode="External"/><Relationship Id="rId14" Type="http://schemas.openxmlformats.org/officeDocument/2006/relationships/hyperlink" Target="https://www.briefing.com/investor/calendars/economic/2019/02/11-1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shortsqueeze.com/" TargetMode="External"/><Relationship Id="rId1" Type="http://schemas.openxmlformats.org/officeDocument/2006/relationships/hyperlink" Target="http://www.finviz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zoomScale="120" zoomScaleNormal="120" zoomScalePageLayoutView="120" workbookViewId="0">
      <selection activeCell="B13" sqref="B13"/>
    </sheetView>
  </sheetViews>
  <sheetFormatPr baseColWidth="10" defaultRowHeight="16" x14ac:dyDescent="0.2"/>
  <cols>
    <col min="1" max="1" width="17.83203125" customWidth="1"/>
    <col min="2" max="2" width="25" customWidth="1"/>
    <col min="3" max="3" width="19" customWidth="1"/>
    <col min="4" max="5" width="10.1640625" customWidth="1"/>
    <col min="6" max="6" width="16.33203125" style="19" customWidth="1"/>
    <col min="8" max="8" width="16.33203125" style="19" customWidth="1"/>
    <col min="10" max="10" width="16.33203125" style="19" customWidth="1"/>
  </cols>
  <sheetData>
    <row r="1" spans="1:12" ht="17" thickBot="1" x14ac:dyDescent="0.25">
      <c r="B1" s="22" t="s">
        <v>29</v>
      </c>
      <c r="C1" t="s">
        <v>30</v>
      </c>
      <c r="F1" s="57"/>
      <c r="G1" s="58"/>
      <c r="H1" s="57">
        <v>43369</v>
      </c>
      <c r="I1" s="57">
        <v>43368</v>
      </c>
      <c r="J1" s="57">
        <v>43367</v>
      </c>
      <c r="K1" s="58"/>
      <c r="L1" s="57">
        <v>43364</v>
      </c>
    </row>
    <row r="2" spans="1:12" x14ac:dyDescent="0.2">
      <c r="B2" s="23"/>
      <c r="C2" s="24"/>
      <c r="F2" s="59"/>
      <c r="G2" s="58"/>
      <c r="H2" s="59" t="s">
        <v>89</v>
      </c>
      <c r="I2" s="59" t="s">
        <v>90</v>
      </c>
      <c r="J2" s="59" t="s">
        <v>79</v>
      </c>
      <c r="K2" s="58"/>
      <c r="L2" s="59" t="s">
        <v>27</v>
      </c>
    </row>
    <row r="3" spans="1:12" x14ac:dyDescent="0.2">
      <c r="A3" s="25"/>
      <c r="B3" s="26" t="s">
        <v>31</v>
      </c>
      <c r="C3" s="27"/>
      <c r="F3" s="14"/>
      <c r="G3" s="58"/>
      <c r="H3" s="14" t="s">
        <v>91</v>
      </c>
      <c r="I3" s="14" t="s">
        <v>92</v>
      </c>
      <c r="J3" s="14" t="s">
        <v>93</v>
      </c>
      <c r="K3" s="58"/>
      <c r="L3" s="14" t="s">
        <v>94</v>
      </c>
    </row>
    <row r="4" spans="1:12" x14ac:dyDescent="0.2">
      <c r="A4" s="25"/>
      <c r="B4" s="26" t="s">
        <v>32</v>
      </c>
      <c r="C4" s="28"/>
      <c r="F4" s="17"/>
      <c r="G4" s="58"/>
      <c r="H4" s="17" t="s">
        <v>95</v>
      </c>
      <c r="I4" s="17" t="s">
        <v>96</v>
      </c>
      <c r="J4" s="17" t="s">
        <v>97</v>
      </c>
      <c r="K4" s="58"/>
      <c r="L4" s="17" t="s">
        <v>98</v>
      </c>
    </row>
    <row r="5" spans="1:12" x14ac:dyDescent="0.2">
      <c r="A5" s="25"/>
      <c r="B5" s="28" t="s">
        <v>33</v>
      </c>
      <c r="C5" s="28" t="s">
        <v>34</v>
      </c>
      <c r="F5" s="4"/>
      <c r="G5" s="58"/>
      <c r="H5" s="4" t="s">
        <v>99</v>
      </c>
      <c r="I5" s="4"/>
      <c r="J5" s="4" t="s">
        <v>28</v>
      </c>
      <c r="K5" s="58"/>
      <c r="L5" s="4" t="s">
        <v>28</v>
      </c>
    </row>
    <row r="6" spans="1:12" x14ac:dyDescent="0.2">
      <c r="A6" s="25"/>
      <c r="B6" s="26" t="s">
        <v>35</v>
      </c>
      <c r="C6" s="28" t="s">
        <v>36</v>
      </c>
      <c r="F6" s="14"/>
      <c r="G6" s="60"/>
      <c r="H6" s="14" t="s">
        <v>100</v>
      </c>
      <c r="I6" s="14" t="s">
        <v>101</v>
      </c>
      <c r="J6" s="14" t="s">
        <v>102</v>
      </c>
      <c r="K6" s="60"/>
      <c r="L6" s="14" t="s">
        <v>103</v>
      </c>
    </row>
    <row r="7" spans="1:12" x14ac:dyDescent="0.2">
      <c r="A7" s="25"/>
      <c r="B7" t="s">
        <v>37</v>
      </c>
      <c r="F7" s="14"/>
      <c r="G7" s="58"/>
      <c r="H7" s="14" t="s">
        <v>104</v>
      </c>
      <c r="I7" s="14" t="s">
        <v>105</v>
      </c>
      <c r="J7" s="14" t="s">
        <v>106</v>
      </c>
      <c r="K7" s="58"/>
      <c r="L7" s="14" t="s">
        <v>107</v>
      </c>
    </row>
    <row r="8" spans="1:12" x14ac:dyDescent="0.2">
      <c r="A8" s="25"/>
      <c r="B8" t="s">
        <v>38</v>
      </c>
      <c r="C8" t="s">
        <v>15</v>
      </c>
      <c r="F8" s="14"/>
      <c r="G8" s="58"/>
      <c r="H8" s="14" t="s">
        <v>108</v>
      </c>
      <c r="I8" s="14" t="s">
        <v>109</v>
      </c>
      <c r="J8" s="14" t="s">
        <v>110</v>
      </c>
      <c r="K8" s="58"/>
      <c r="L8" s="14" t="s">
        <v>111</v>
      </c>
    </row>
    <row r="9" spans="1:12" x14ac:dyDescent="0.2">
      <c r="A9" s="25"/>
      <c r="B9" t="s">
        <v>39</v>
      </c>
      <c r="F9" s="61"/>
      <c r="G9" s="58"/>
      <c r="H9" s="61" t="s">
        <v>112</v>
      </c>
      <c r="I9" s="61" t="s">
        <v>113</v>
      </c>
      <c r="J9" s="61" t="s">
        <v>114</v>
      </c>
      <c r="K9" s="58"/>
      <c r="L9" s="61" t="s">
        <v>115</v>
      </c>
    </row>
    <row r="10" spans="1:12" x14ac:dyDescent="0.2">
      <c r="A10" s="25"/>
      <c r="B10" s="29" t="s">
        <v>40</v>
      </c>
      <c r="F10" s="14"/>
      <c r="G10" s="58"/>
      <c r="H10" s="14" t="s">
        <v>116</v>
      </c>
      <c r="I10" s="14" t="s">
        <v>117</v>
      </c>
      <c r="J10" s="14" t="s">
        <v>118</v>
      </c>
      <c r="K10" s="58"/>
      <c r="L10" s="14" t="s">
        <v>116</v>
      </c>
    </row>
    <row r="11" spans="1:12" x14ac:dyDescent="0.2">
      <c r="A11" s="30"/>
      <c r="B11" s="29" t="s">
        <v>41</v>
      </c>
      <c r="F11" s="14"/>
      <c r="G11" s="58"/>
      <c r="H11" s="14"/>
      <c r="I11" s="14" t="s">
        <v>119</v>
      </c>
      <c r="J11" s="14" t="s">
        <v>120</v>
      </c>
      <c r="K11" s="58"/>
      <c r="L11" s="14" t="s">
        <v>120</v>
      </c>
    </row>
    <row r="12" spans="1:12" x14ac:dyDescent="0.2">
      <c r="A12" s="25"/>
      <c r="B12" s="26" t="s">
        <v>42</v>
      </c>
      <c r="C12" s="28" t="s">
        <v>43</v>
      </c>
      <c r="F12" s="14"/>
      <c r="G12" s="58"/>
      <c r="H12" s="14"/>
      <c r="I12" s="14"/>
      <c r="J12" s="14" t="s">
        <v>121</v>
      </c>
      <c r="K12" s="58"/>
      <c r="L12" s="14" t="s">
        <v>121</v>
      </c>
    </row>
    <row r="13" spans="1:12" x14ac:dyDescent="0.2">
      <c r="A13" s="31"/>
      <c r="B13" s="32" t="s">
        <v>44</v>
      </c>
      <c r="C13" s="33"/>
      <c r="F13" s="14"/>
      <c r="G13" s="60"/>
      <c r="H13" s="14">
        <v>1450</v>
      </c>
      <c r="I13" s="14">
        <v>1434</v>
      </c>
      <c r="J13" s="14">
        <v>1413</v>
      </c>
      <c r="K13" s="60"/>
      <c r="L13" s="14">
        <v>1396</v>
      </c>
    </row>
    <row r="14" spans="1:12" x14ac:dyDescent="0.2">
      <c r="A14" s="25"/>
      <c r="B14" s="34" t="s">
        <v>45</v>
      </c>
      <c r="C14" s="35"/>
      <c r="F14" s="14"/>
      <c r="G14" s="58" t="s">
        <v>15</v>
      </c>
      <c r="H14" s="14" t="s">
        <v>122</v>
      </c>
      <c r="I14" s="14" t="s">
        <v>123</v>
      </c>
      <c r="J14" s="14" t="s">
        <v>124</v>
      </c>
      <c r="K14" s="58" t="s">
        <v>15</v>
      </c>
      <c r="L14" s="14" t="s">
        <v>125</v>
      </c>
    </row>
    <row r="15" spans="1:12" x14ac:dyDescent="0.2">
      <c r="A15" s="25"/>
      <c r="B15" s="34" t="s">
        <v>46</v>
      </c>
      <c r="C15" s="35"/>
      <c r="F15" s="14"/>
      <c r="G15" s="58"/>
      <c r="H15" s="14" t="s">
        <v>126</v>
      </c>
      <c r="I15" s="14" t="s">
        <v>127</v>
      </c>
      <c r="J15" s="14">
        <v>12.45</v>
      </c>
      <c r="K15" s="58"/>
      <c r="L15" s="14" t="s">
        <v>128</v>
      </c>
    </row>
    <row r="16" spans="1:12" x14ac:dyDescent="0.2">
      <c r="A16" s="25"/>
      <c r="B16" s="34" t="s">
        <v>47</v>
      </c>
      <c r="C16" s="35"/>
      <c r="F16" s="14"/>
      <c r="G16" s="58"/>
      <c r="H16" s="14" t="s">
        <v>129</v>
      </c>
      <c r="I16" s="14" t="s">
        <v>130</v>
      </c>
      <c r="J16" s="14" t="s">
        <v>131</v>
      </c>
      <c r="K16" s="58"/>
      <c r="L16" s="14" t="s">
        <v>132</v>
      </c>
    </row>
    <row r="17" spans="1:12" x14ac:dyDescent="0.2">
      <c r="A17" s="25"/>
      <c r="B17" s="36" t="s">
        <v>48</v>
      </c>
      <c r="C17" s="35"/>
      <c r="F17" s="14"/>
      <c r="G17" s="58"/>
      <c r="H17" s="14" t="s">
        <v>133</v>
      </c>
      <c r="I17" s="14" t="s">
        <v>134</v>
      </c>
      <c r="J17" s="14" t="s">
        <v>135</v>
      </c>
      <c r="K17" s="58"/>
      <c r="L17" s="14" t="s">
        <v>136</v>
      </c>
    </row>
    <row r="18" spans="1:12" x14ac:dyDescent="0.2">
      <c r="B18" s="36" t="s">
        <v>49</v>
      </c>
      <c r="C18" s="35"/>
      <c r="F18" s="14"/>
      <c r="G18" s="58"/>
      <c r="H18" s="14" t="s">
        <v>137</v>
      </c>
      <c r="I18" s="14" t="s">
        <v>137</v>
      </c>
      <c r="J18" s="14" t="s">
        <v>137</v>
      </c>
      <c r="K18" s="58"/>
      <c r="L18" s="14" t="s">
        <v>137</v>
      </c>
    </row>
    <row r="19" spans="1:12" x14ac:dyDescent="0.2">
      <c r="A19" s="37"/>
      <c r="B19" s="34" t="s">
        <v>50</v>
      </c>
      <c r="C19" s="37"/>
      <c r="F19" s="14"/>
      <c r="G19" s="58"/>
      <c r="H19" s="14"/>
      <c r="I19" s="14"/>
      <c r="J19" s="14"/>
      <c r="K19" s="58"/>
      <c r="L19" s="14"/>
    </row>
    <row r="20" spans="1:12" x14ac:dyDescent="0.2">
      <c r="A20" s="37"/>
      <c r="B20" s="34" t="s">
        <v>51</v>
      </c>
      <c r="C20" s="37"/>
      <c r="F20" s="14"/>
      <c r="G20" s="58"/>
      <c r="H20" s="14" t="s">
        <v>80</v>
      </c>
      <c r="I20" s="14" t="s">
        <v>80</v>
      </c>
      <c r="J20" s="14" t="s">
        <v>138</v>
      </c>
      <c r="K20" s="58"/>
      <c r="L20" s="14" t="s">
        <v>80</v>
      </c>
    </row>
    <row r="21" spans="1:12" x14ac:dyDescent="0.2">
      <c r="A21" s="37"/>
      <c r="B21" s="34"/>
      <c r="C21" s="37"/>
      <c r="F21" s="14"/>
      <c r="G21" s="58"/>
      <c r="H21" s="14"/>
      <c r="I21" s="14"/>
      <c r="J21" s="14"/>
      <c r="K21" s="58"/>
      <c r="L21" s="14"/>
    </row>
    <row r="22" spans="1:12" ht="17" thickBot="1" x14ac:dyDescent="0.25">
      <c r="B22" s="22" t="s">
        <v>52</v>
      </c>
      <c r="F22" s="18"/>
      <c r="G22" s="58"/>
      <c r="H22" s="18"/>
      <c r="I22" s="18"/>
      <c r="J22" s="18"/>
      <c r="K22" s="58"/>
      <c r="L22" s="18"/>
    </row>
    <row r="23" spans="1:12" x14ac:dyDescent="0.2">
      <c r="A23" s="38"/>
      <c r="B23" s="39"/>
      <c r="C23" s="38"/>
      <c r="F23" s="14"/>
      <c r="G23" s="58"/>
      <c r="H23" s="14"/>
      <c r="I23" s="14"/>
      <c r="J23" s="14"/>
      <c r="K23" s="58"/>
      <c r="L23" s="14"/>
    </row>
    <row r="24" spans="1:12" x14ac:dyDescent="0.2">
      <c r="A24" s="40" t="s">
        <v>53</v>
      </c>
      <c r="B24" s="41" t="s">
        <v>54</v>
      </c>
      <c r="C24" s="42" t="s">
        <v>55</v>
      </c>
      <c r="F24" s="4"/>
      <c r="G24" s="58"/>
      <c r="H24" s="4">
        <v>2</v>
      </c>
      <c r="I24" s="4">
        <v>2</v>
      </c>
      <c r="J24" s="4">
        <v>2</v>
      </c>
      <c r="K24" s="58"/>
      <c r="L24" s="4">
        <v>2</v>
      </c>
    </row>
    <row r="25" spans="1:12" x14ac:dyDescent="0.2">
      <c r="A25" s="43" t="s">
        <v>56</v>
      </c>
      <c r="B25" s="44" t="s">
        <v>57</v>
      </c>
      <c r="C25" s="45" t="s">
        <v>58</v>
      </c>
      <c r="F25" s="4"/>
      <c r="G25" s="58"/>
      <c r="H25" s="4">
        <v>1</v>
      </c>
      <c r="I25" s="4">
        <v>0</v>
      </c>
      <c r="J25" s="4">
        <v>1</v>
      </c>
      <c r="K25" s="58"/>
      <c r="L25" s="4">
        <v>2</v>
      </c>
    </row>
    <row r="26" spans="1:12" x14ac:dyDescent="0.2">
      <c r="A26" s="46" t="s">
        <v>59</v>
      </c>
      <c r="B26" s="44" t="s">
        <v>60</v>
      </c>
      <c r="C26" s="47" t="s">
        <v>61</v>
      </c>
      <c r="F26" s="4"/>
      <c r="G26" s="58"/>
      <c r="H26" s="4">
        <v>1</v>
      </c>
      <c r="I26" s="4">
        <v>1</v>
      </c>
      <c r="J26" s="4">
        <v>1</v>
      </c>
      <c r="K26" s="58"/>
      <c r="L26" s="4">
        <v>1</v>
      </c>
    </row>
    <row r="27" spans="1:12" x14ac:dyDescent="0.2">
      <c r="A27" s="46" t="s">
        <v>62</v>
      </c>
      <c r="B27" s="44" t="s">
        <v>63</v>
      </c>
      <c r="C27" s="45" t="s">
        <v>64</v>
      </c>
      <c r="F27" s="4"/>
      <c r="G27" s="58"/>
      <c r="H27" s="4">
        <v>1</v>
      </c>
      <c r="I27" s="4">
        <v>2</v>
      </c>
      <c r="J27" s="4">
        <v>2</v>
      </c>
      <c r="K27" s="58"/>
      <c r="L27" s="4">
        <v>2</v>
      </c>
    </row>
    <row r="28" spans="1:12" ht="17" thickBot="1" x14ac:dyDescent="0.25">
      <c r="A28" s="48" t="s">
        <v>65</v>
      </c>
      <c r="B28" s="49" t="s">
        <v>66</v>
      </c>
      <c r="C28" s="50" t="s">
        <v>67</v>
      </c>
      <c r="F28" s="14"/>
      <c r="G28" s="58"/>
      <c r="H28" s="62">
        <v>0</v>
      </c>
      <c r="I28" s="62">
        <v>0</v>
      </c>
      <c r="J28" s="4">
        <v>1</v>
      </c>
      <c r="K28" s="58"/>
      <c r="L28" s="62">
        <v>0</v>
      </c>
    </row>
    <row r="29" spans="1:12" ht="17" thickBot="1" x14ac:dyDescent="0.25">
      <c r="A29" s="51" t="s">
        <v>68</v>
      </c>
      <c r="B29" s="52" t="s">
        <v>69</v>
      </c>
      <c r="C29" s="53" t="s">
        <v>70</v>
      </c>
      <c r="F29" s="76"/>
      <c r="G29" s="58"/>
      <c r="H29" s="63">
        <v>5</v>
      </c>
      <c r="I29" s="63">
        <v>5</v>
      </c>
      <c r="J29" s="64">
        <v>7</v>
      </c>
      <c r="K29" s="58"/>
      <c r="L29" s="64">
        <v>7</v>
      </c>
    </row>
    <row r="31" spans="1:12" ht="17" thickBot="1" x14ac:dyDescent="0.25">
      <c r="B31" s="22" t="s">
        <v>14</v>
      </c>
    </row>
    <row r="32" spans="1:12" x14ac:dyDescent="0.2">
      <c r="B32" s="20" t="s">
        <v>71</v>
      </c>
      <c r="C32" s="20"/>
    </row>
    <row r="33" spans="1:10" x14ac:dyDescent="0.2">
      <c r="A33" s="20"/>
      <c r="B33" s="20" t="s">
        <v>72</v>
      </c>
      <c r="C33" s="20"/>
      <c r="F33" s="20"/>
      <c r="H33" s="20"/>
      <c r="I33" s="20"/>
      <c r="J33" s="20"/>
    </row>
    <row r="34" spans="1:10" x14ac:dyDescent="0.2">
      <c r="A34" s="20"/>
      <c r="B34" s="20" t="s">
        <v>73</v>
      </c>
      <c r="C34" s="20"/>
      <c r="F34" s="20"/>
      <c r="H34" s="20"/>
      <c r="I34" s="20"/>
      <c r="J34" s="20"/>
    </row>
    <row r="35" spans="1:10" x14ac:dyDescent="0.2">
      <c r="A35" s="20"/>
      <c r="B35" s="20"/>
      <c r="C35" s="20"/>
      <c r="F35" s="20"/>
      <c r="H35" s="20"/>
      <c r="I35" s="20"/>
      <c r="J35" s="20"/>
    </row>
    <row r="36" spans="1:10" ht="17" thickBot="1" x14ac:dyDescent="0.25">
      <c r="A36" s="20"/>
      <c r="B36" s="22" t="s">
        <v>74</v>
      </c>
      <c r="C36" s="20"/>
      <c r="F36" s="20"/>
      <c r="H36" s="20"/>
      <c r="I36" s="20"/>
      <c r="J36" s="20"/>
    </row>
    <row r="37" spans="1:10" x14ac:dyDescent="0.2">
      <c r="A37" s="54" t="s">
        <v>75</v>
      </c>
      <c r="I37" s="21"/>
    </row>
    <row r="38" spans="1:10" x14ac:dyDescent="0.2">
      <c r="A38" s="54" t="s">
        <v>76</v>
      </c>
      <c r="I38" s="21"/>
    </row>
    <row r="39" spans="1:10" x14ac:dyDescent="0.2">
      <c r="A39" s="54" t="s">
        <v>77</v>
      </c>
      <c r="I39" s="21"/>
    </row>
    <row r="40" spans="1:10" x14ac:dyDescent="0.2">
      <c r="A40" s="28" t="s">
        <v>78</v>
      </c>
    </row>
    <row r="41" spans="1:10" x14ac:dyDescent="0.2">
      <c r="B41" s="55"/>
    </row>
  </sheetData>
  <hyperlinks>
    <hyperlink ref="B7" r:id="rId1" xr:uid="{00000000-0004-0000-0000-000000000000}"/>
    <hyperlink ref="B12" r:id="rId2" xr:uid="{00000000-0004-0000-0000-000001000000}"/>
    <hyperlink ref="B16" r:id="rId3" display="S&amp;P500" xr:uid="{00000000-0004-0000-0000-000002000000}"/>
    <hyperlink ref="B13" r:id="rId4" xr:uid="{00000000-0004-0000-0000-000003000000}"/>
    <hyperlink ref="A37" r:id="rId5" display="http://www.finviz.com/" xr:uid="{00000000-0004-0000-0000-000004000000}"/>
    <hyperlink ref="A38" r:id="rId6" display="http://www.earnings.com/" xr:uid="{00000000-0004-0000-0000-000005000000}"/>
    <hyperlink ref="A39" r:id="rId7" display="http://www.briefing.com/" xr:uid="{00000000-0004-0000-0000-000006000000}"/>
    <hyperlink ref="C12" r:id="rId8" xr:uid="{00000000-0004-0000-0000-000007000000}"/>
    <hyperlink ref="A40" r:id="rId9" xr:uid="{00000000-0004-0000-0000-000008000000}"/>
    <hyperlink ref="B3" r:id="rId10" display="Check Far East Markets" xr:uid="{00000000-0004-0000-0000-000009000000}"/>
    <hyperlink ref="B6" r:id="rId11" display="Check Market Watch" xr:uid="{00000000-0004-0000-0000-00000B000000}"/>
    <hyperlink ref="B4" r:id="rId12" display="Check Europe Markets" xr:uid="{00000000-0004-0000-0000-00000C000000}"/>
    <hyperlink ref="C6" r:id="rId13" xr:uid="{00000000-0004-0000-0000-00000E000000}"/>
    <hyperlink ref="B5" r:id="rId14" xr:uid="{62D5562C-8CC6-144F-8EA5-57D8F160B9B6}"/>
    <hyperlink ref="C5" r:id="rId15" xr:uid="{B7240D31-3275-3649-8B92-A11807F5FA0D}"/>
  </hyperlinks>
  <pageMargins left="0.7" right="0.7" top="0.75" bottom="0.75" header="0.3" footer="0.3"/>
  <legacy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tabSelected="1" zoomScale="170" zoomScaleNormal="170" zoomScalePageLayoutView="120" workbookViewId="0">
      <pane ySplit="1" topLeftCell="A45" activePane="bottomLeft" state="frozen"/>
      <selection pane="bottomLeft" activeCell="A32" sqref="A32:XFD48"/>
    </sheetView>
  </sheetViews>
  <sheetFormatPr baseColWidth="10" defaultRowHeight="16" x14ac:dyDescent="0.2"/>
  <cols>
    <col min="5" max="5" width="3.1640625" bestFit="1" customWidth="1"/>
    <col min="7" max="7" width="10.83203125" style="66"/>
    <col min="10" max="10" width="10.83203125" style="67"/>
  </cols>
  <sheetData>
    <row r="1" spans="1:17" x14ac:dyDescent="0.2">
      <c r="A1" s="1" t="s">
        <v>26</v>
      </c>
      <c r="B1" s="2" t="s">
        <v>0</v>
      </c>
      <c r="C1" s="3" t="s">
        <v>1</v>
      </c>
      <c r="D1" s="3" t="s">
        <v>2</v>
      </c>
      <c r="E1" s="4" t="s">
        <v>3</v>
      </c>
      <c r="F1" s="5" t="s">
        <v>4</v>
      </c>
      <c r="G1" s="7" t="s">
        <v>142</v>
      </c>
      <c r="H1" s="5" t="s">
        <v>5</v>
      </c>
      <c r="I1" s="6" t="s">
        <v>6</v>
      </c>
      <c r="J1" s="67" t="s">
        <v>7</v>
      </c>
      <c r="K1" s="8" t="s">
        <v>8</v>
      </c>
      <c r="L1" s="9" t="s">
        <v>9</v>
      </c>
      <c r="M1" s="10" t="s">
        <v>10</v>
      </c>
      <c r="N1" s="11" t="s">
        <v>11</v>
      </c>
      <c r="O1" s="12" t="s">
        <v>12</v>
      </c>
      <c r="P1" s="13" t="s">
        <v>13</v>
      </c>
    </row>
    <row r="2" spans="1:17" x14ac:dyDescent="0.2">
      <c r="A2" s="14"/>
      <c r="B2" s="14"/>
      <c r="C2" s="14"/>
      <c r="D2" s="14"/>
      <c r="E2" s="14"/>
      <c r="F2" s="14"/>
      <c r="H2" s="4"/>
      <c r="I2" s="4"/>
      <c r="K2" s="14"/>
      <c r="L2" s="14"/>
      <c r="M2" s="14"/>
      <c r="N2" s="14"/>
      <c r="O2" s="14"/>
      <c r="P2" s="14"/>
    </row>
    <row r="3" spans="1:17" x14ac:dyDescent="0.2">
      <c r="A3" s="1" t="s">
        <v>14</v>
      </c>
      <c r="B3" s="14" t="s">
        <v>15</v>
      </c>
      <c r="C3" s="14"/>
      <c r="D3" s="14"/>
      <c r="E3" s="14"/>
      <c r="F3" s="14"/>
      <c r="H3" s="4"/>
      <c r="I3" s="4"/>
      <c r="K3" s="14"/>
      <c r="L3" s="14"/>
      <c r="M3" s="14"/>
      <c r="N3" s="14"/>
      <c r="O3" s="14"/>
      <c r="P3" s="14"/>
    </row>
    <row r="4" spans="1:17" x14ac:dyDescent="0.2">
      <c r="A4" s="14"/>
      <c r="B4" s="14" t="s">
        <v>16</v>
      </c>
      <c r="C4" s="14"/>
      <c r="D4" s="14"/>
      <c r="E4" s="14"/>
      <c r="F4" s="14"/>
      <c r="H4" s="14"/>
      <c r="I4" s="14"/>
      <c r="K4" s="14"/>
      <c r="L4" s="14"/>
      <c r="M4" s="14"/>
      <c r="N4" s="14"/>
      <c r="O4" s="14"/>
      <c r="P4" s="14"/>
    </row>
    <row r="5" spans="1:17" x14ac:dyDescent="0.2">
      <c r="A5" s="14"/>
      <c r="B5" s="14" t="s">
        <v>17</v>
      </c>
      <c r="C5" s="14"/>
      <c r="D5" s="14"/>
      <c r="E5" s="14"/>
      <c r="F5" s="14"/>
      <c r="H5" s="14"/>
      <c r="I5" s="4"/>
      <c r="K5" s="14"/>
      <c r="L5" s="14"/>
      <c r="M5" s="14"/>
      <c r="N5" s="14"/>
      <c r="O5" s="14"/>
      <c r="P5" s="14"/>
    </row>
    <row r="6" spans="1:17" x14ac:dyDescent="0.2">
      <c r="A6" s="14"/>
      <c r="B6" s="14" t="s">
        <v>18</v>
      </c>
      <c r="C6" s="14"/>
      <c r="D6" s="14"/>
      <c r="E6" s="14"/>
      <c r="F6" s="14"/>
      <c r="H6" s="4"/>
      <c r="I6" s="4"/>
      <c r="K6" s="14"/>
      <c r="L6" s="14"/>
      <c r="M6" s="14"/>
      <c r="N6" s="14"/>
      <c r="O6" s="14"/>
      <c r="P6" s="14"/>
    </row>
    <row r="7" spans="1:17" x14ac:dyDescent="0.2">
      <c r="A7" s="14"/>
      <c r="B7" s="14" t="s">
        <v>19</v>
      </c>
      <c r="C7" s="14"/>
      <c r="D7" s="14"/>
      <c r="E7" s="14"/>
      <c r="F7" s="14"/>
      <c r="H7" s="4"/>
      <c r="I7" s="4"/>
      <c r="K7" s="14"/>
      <c r="L7" s="14"/>
      <c r="M7" s="14"/>
      <c r="N7" s="14"/>
      <c r="O7" s="14"/>
      <c r="P7" s="14"/>
    </row>
    <row r="8" spans="1:17" x14ac:dyDescent="0.2">
      <c r="A8" s="14"/>
      <c r="B8" s="14" t="s">
        <v>20</v>
      </c>
      <c r="C8" s="14"/>
      <c r="D8" s="14"/>
      <c r="E8" s="14"/>
      <c r="F8" s="14"/>
      <c r="H8" s="14"/>
      <c r="I8" s="14"/>
      <c r="K8" s="14"/>
      <c r="L8" s="14"/>
      <c r="M8" s="14"/>
      <c r="N8" s="14"/>
      <c r="O8" s="14"/>
      <c r="P8" s="14"/>
    </row>
    <row r="9" spans="1:17" x14ac:dyDescent="0.2">
      <c r="A9" s="14"/>
      <c r="B9" s="14" t="s">
        <v>21</v>
      </c>
      <c r="C9" s="14"/>
      <c r="D9" s="14"/>
      <c r="E9" s="14"/>
      <c r="F9" s="14"/>
      <c r="H9" s="4"/>
      <c r="I9" s="4"/>
      <c r="K9" s="14"/>
      <c r="L9" s="14"/>
      <c r="M9" s="14"/>
      <c r="N9" s="14"/>
      <c r="O9" s="14"/>
      <c r="P9" s="14"/>
    </row>
    <row r="10" spans="1:17" x14ac:dyDescent="0.2">
      <c r="A10" s="14"/>
      <c r="B10" s="14" t="s">
        <v>22</v>
      </c>
      <c r="C10" s="14"/>
      <c r="D10" s="14"/>
      <c r="E10" s="14"/>
      <c r="F10" s="14"/>
      <c r="H10" s="14"/>
      <c r="I10" s="14"/>
      <c r="K10" s="14"/>
      <c r="L10" s="14"/>
      <c r="M10" s="14"/>
      <c r="N10" s="14"/>
      <c r="O10" s="14"/>
      <c r="P10" s="14"/>
    </row>
    <row r="11" spans="1:17" x14ac:dyDescent="0.2">
      <c r="A11" s="14"/>
      <c r="B11" s="14"/>
      <c r="C11" s="14"/>
      <c r="D11" s="14"/>
      <c r="E11" s="14"/>
      <c r="F11" s="14"/>
      <c r="H11" s="4"/>
      <c r="I11" s="4"/>
      <c r="K11" s="14"/>
      <c r="L11" s="14"/>
      <c r="M11" s="14"/>
      <c r="N11" s="14"/>
      <c r="O11" s="14"/>
      <c r="P11" s="14"/>
    </row>
    <row r="12" spans="1:17" s="38" customFormat="1" x14ac:dyDescent="0.2">
      <c r="B12" s="65"/>
      <c r="E12" s="15"/>
      <c r="G12" s="66"/>
      <c r="J12" s="67"/>
      <c r="L12" s="68"/>
      <c r="N12" s="69"/>
      <c r="P12" s="70"/>
    </row>
    <row r="13" spans="1:17" s="38" customFormat="1" x14ac:dyDescent="0.2">
      <c r="A13" s="38" t="s">
        <v>83</v>
      </c>
      <c r="B13" s="65" t="s">
        <v>84</v>
      </c>
      <c r="C13" s="38" t="s">
        <v>85</v>
      </c>
      <c r="D13" s="38" t="s">
        <v>23</v>
      </c>
      <c r="E13" s="15" t="s">
        <v>82</v>
      </c>
      <c r="F13" s="56">
        <v>43404</v>
      </c>
      <c r="G13" s="66">
        <v>0.03</v>
      </c>
      <c r="H13" s="38" t="s">
        <v>24</v>
      </c>
      <c r="I13" s="38" t="s">
        <v>24</v>
      </c>
      <c r="J13" s="67">
        <v>96.61</v>
      </c>
      <c r="K13" s="38">
        <v>91</v>
      </c>
      <c r="L13" s="68">
        <v>1.49</v>
      </c>
      <c r="M13" s="71">
        <f>J13+1.5*L13</f>
        <v>98.844999999999999</v>
      </c>
      <c r="N13" s="69">
        <v>400</v>
      </c>
      <c r="O13" s="72">
        <f>N13/(J13-M13)</f>
        <v>-178.97091722595084</v>
      </c>
      <c r="P13" s="70">
        <f>(K13-J13)*O13</f>
        <v>1004.0268456375841</v>
      </c>
    </row>
    <row r="14" spans="1:17" s="38" customFormat="1" x14ac:dyDescent="0.2">
      <c r="B14" s="65"/>
      <c r="E14" s="15"/>
      <c r="G14" s="66"/>
      <c r="J14" s="67"/>
      <c r="K14" s="67"/>
      <c r="M14" s="68"/>
      <c r="O14" s="69"/>
      <c r="Q14" s="70"/>
    </row>
    <row r="15" spans="1:17" s="38" customFormat="1" x14ac:dyDescent="0.2">
      <c r="A15" s="74">
        <v>43367</v>
      </c>
      <c r="B15" s="65"/>
      <c r="E15" s="15"/>
      <c r="G15" s="66"/>
      <c r="J15" s="67"/>
      <c r="K15" s="67"/>
      <c r="M15" s="68"/>
      <c r="O15" s="69"/>
      <c r="Q15" s="70"/>
    </row>
    <row r="16" spans="1:17" s="38" customFormat="1" x14ac:dyDescent="0.2">
      <c r="B16" s="65"/>
      <c r="E16" s="15"/>
      <c r="G16" s="66"/>
      <c r="J16" s="67"/>
      <c r="K16" s="67"/>
      <c r="M16" s="68"/>
      <c r="O16" s="69"/>
      <c r="Q16" s="70"/>
    </row>
    <row r="17" spans="1:17" s="38" customFormat="1" x14ac:dyDescent="0.2">
      <c r="A17" s="38" t="s">
        <v>86</v>
      </c>
      <c r="B17" s="65" t="s">
        <v>87</v>
      </c>
      <c r="C17" s="38" t="s">
        <v>88</v>
      </c>
      <c r="D17" s="38" t="s">
        <v>23</v>
      </c>
      <c r="E17" s="15" t="s">
        <v>25</v>
      </c>
      <c r="F17" s="56">
        <v>43329</v>
      </c>
      <c r="G17" s="66">
        <v>4.0000000000000001E-3</v>
      </c>
      <c r="J17" s="67">
        <v>1.67</v>
      </c>
      <c r="K17" s="38">
        <v>2.6</v>
      </c>
      <c r="L17" s="68">
        <v>0.08</v>
      </c>
      <c r="M17" s="71">
        <f>J17-1.5*L17</f>
        <v>1.5499999999999998</v>
      </c>
      <c r="N17" s="69">
        <v>2000</v>
      </c>
      <c r="O17" s="73">
        <f>N17/(J17-M17)</f>
        <v>16666.666666666653</v>
      </c>
      <c r="P17" s="70">
        <f>(K17-J17)*O17</f>
        <v>15499.999999999991</v>
      </c>
    </row>
    <row r="18" spans="1:17" s="38" customFormat="1" x14ac:dyDescent="0.2">
      <c r="B18" s="65"/>
      <c r="E18" s="15"/>
      <c r="G18" s="66"/>
      <c r="J18" s="67"/>
      <c r="K18" s="67"/>
      <c r="M18" s="68"/>
      <c r="O18" s="69"/>
      <c r="Q18" s="70"/>
    </row>
    <row r="19" spans="1:17" s="38" customFormat="1" x14ac:dyDescent="0.2">
      <c r="A19" s="74">
        <v>43506</v>
      </c>
      <c r="B19" s="65"/>
      <c r="E19" s="15"/>
      <c r="G19" s="66"/>
      <c r="J19" s="67"/>
      <c r="K19" s="67"/>
      <c r="M19" s="68"/>
      <c r="O19" s="69"/>
      <c r="Q19" s="70"/>
    </row>
    <row r="20" spans="1:17" s="38" customFormat="1" x14ac:dyDescent="0.2">
      <c r="B20" s="65"/>
      <c r="E20" s="15"/>
      <c r="G20" s="66"/>
      <c r="J20" s="67"/>
      <c r="K20" s="67"/>
      <c r="M20" s="68"/>
      <c r="O20" s="69"/>
      <c r="Q20" s="70"/>
    </row>
    <row r="21" spans="1:17" s="38" customFormat="1" x14ac:dyDescent="0.2">
      <c r="B21" s="65" t="s">
        <v>140</v>
      </c>
      <c r="C21" s="38" t="s">
        <v>139</v>
      </c>
      <c r="D21" s="38" t="s">
        <v>23</v>
      </c>
      <c r="E21" s="15" t="s">
        <v>25</v>
      </c>
      <c r="F21" s="75" t="s">
        <v>141</v>
      </c>
      <c r="G21" s="66">
        <v>0.09</v>
      </c>
      <c r="H21" s="38" t="s">
        <v>143</v>
      </c>
      <c r="I21" s="38" t="s">
        <v>144</v>
      </c>
      <c r="J21" s="67">
        <v>14.13</v>
      </c>
      <c r="K21" s="67">
        <v>17</v>
      </c>
      <c r="L21" s="38">
        <v>1.66</v>
      </c>
      <c r="M21" s="71">
        <f>J21-1.5*L21</f>
        <v>11.64</v>
      </c>
      <c r="N21" s="69">
        <v>500</v>
      </c>
      <c r="O21" s="73">
        <f>N21/(J21-M21)</f>
        <v>200.80321285140562</v>
      </c>
      <c r="P21" s="70">
        <f>(K21-J21)*O21</f>
        <v>576.30522088353393</v>
      </c>
      <c r="Q21" s="70"/>
    </row>
    <row r="22" spans="1:17" s="38" customFormat="1" x14ac:dyDescent="0.2">
      <c r="B22" s="65"/>
      <c r="E22" s="15"/>
      <c r="G22" s="66"/>
      <c r="J22" s="67"/>
      <c r="K22" s="67"/>
      <c r="M22" s="68"/>
      <c r="O22" s="69"/>
      <c r="Q22" s="70"/>
    </row>
    <row r="23" spans="1:17" s="38" customFormat="1" x14ac:dyDescent="0.2">
      <c r="B23" s="65" t="s">
        <v>145</v>
      </c>
      <c r="C23" s="38" t="s">
        <v>146</v>
      </c>
      <c r="D23" s="38" t="s">
        <v>23</v>
      </c>
      <c r="E23" s="15" t="s">
        <v>25</v>
      </c>
      <c r="F23" s="56">
        <v>43473</v>
      </c>
      <c r="G23" s="16">
        <v>0.19</v>
      </c>
      <c r="H23" s="38" t="s">
        <v>81</v>
      </c>
      <c r="I23" s="38" t="s">
        <v>24</v>
      </c>
      <c r="J23" s="67">
        <v>27.55</v>
      </c>
      <c r="K23" s="38">
        <v>42</v>
      </c>
      <c r="L23" s="38">
        <v>0.81</v>
      </c>
      <c r="M23" s="71">
        <f>J23-1.5*L23</f>
        <v>26.335000000000001</v>
      </c>
      <c r="N23" s="69">
        <v>500</v>
      </c>
      <c r="O23" s="73">
        <f>N23/(J23-M23)</f>
        <v>411.52263374485602</v>
      </c>
      <c r="P23" s="70">
        <f>(K23-J23)*O23</f>
        <v>5946.5020576131692</v>
      </c>
    </row>
    <row r="24" spans="1:17" s="38" customFormat="1" x14ac:dyDescent="0.2">
      <c r="G24" s="66"/>
      <c r="J24" s="67"/>
    </row>
    <row r="25" spans="1:17" s="38" customFormat="1" x14ac:dyDescent="0.2">
      <c r="B25" s="65" t="s">
        <v>147</v>
      </c>
      <c r="C25" s="38" t="s">
        <v>148</v>
      </c>
      <c r="D25" s="38" t="s">
        <v>23</v>
      </c>
      <c r="E25" s="15" t="s">
        <v>82</v>
      </c>
      <c r="F25" s="38" t="s">
        <v>149</v>
      </c>
      <c r="G25" s="16">
        <v>0.14000000000000001</v>
      </c>
      <c r="H25" s="38" t="s">
        <v>150</v>
      </c>
      <c r="I25" s="38" t="s">
        <v>24</v>
      </c>
      <c r="J25" s="67">
        <v>48.5</v>
      </c>
      <c r="K25" s="38">
        <v>42.5</v>
      </c>
      <c r="L25" s="38">
        <v>1.85</v>
      </c>
      <c r="M25" s="71">
        <f>J25+1.5*L25</f>
        <v>51.274999999999999</v>
      </c>
      <c r="N25" s="69">
        <v>500</v>
      </c>
      <c r="O25" s="72">
        <f>N25/(J25-M25)</f>
        <v>-180.18018018018026</v>
      </c>
      <c r="P25" s="70">
        <f>(K25-J25)*O25</f>
        <v>1081.0810810810815</v>
      </c>
    </row>
    <row r="26" spans="1:17" s="38" customFormat="1" x14ac:dyDescent="0.2">
      <c r="G26" s="66"/>
      <c r="J26" s="67"/>
    </row>
    <row r="27" spans="1:17" s="38" customFormat="1" x14ac:dyDescent="0.2">
      <c r="A27" s="74">
        <v>43506</v>
      </c>
      <c r="G27" s="66"/>
      <c r="J27" s="67"/>
    </row>
    <row r="28" spans="1:17" s="38" customFormat="1" x14ac:dyDescent="0.2">
      <c r="B28" s="67" t="s">
        <v>151</v>
      </c>
      <c r="C28" s="38" t="s">
        <v>152</v>
      </c>
      <c r="D28" s="38" t="s">
        <v>23</v>
      </c>
      <c r="E28" s="15" t="s">
        <v>82</v>
      </c>
      <c r="F28" s="56">
        <v>43634</v>
      </c>
      <c r="G28" s="66">
        <v>0.01</v>
      </c>
      <c r="H28" s="38" t="s">
        <v>153</v>
      </c>
      <c r="I28" s="38" t="s">
        <v>153</v>
      </c>
      <c r="J28" s="67">
        <v>278</v>
      </c>
      <c r="K28" s="38">
        <v>253</v>
      </c>
      <c r="L28" s="38">
        <v>7</v>
      </c>
      <c r="M28" s="71">
        <f>J28+1.5*L28</f>
        <v>288.5</v>
      </c>
      <c r="N28" s="38">
        <v>250</v>
      </c>
      <c r="O28" s="72">
        <f>N28/(J28-M28)</f>
        <v>-23.80952380952381</v>
      </c>
      <c r="P28" s="70">
        <f>(K28-J28)*O28</f>
        <v>595.2380952380953</v>
      </c>
    </row>
    <row r="29" spans="1:17" s="38" customFormat="1" x14ac:dyDescent="0.2">
      <c r="B29" s="67"/>
      <c r="G29" s="66"/>
      <c r="J29" s="67"/>
    </row>
    <row r="30" spans="1:17" s="38" customFormat="1" x14ac:dyDescent="0.2">
      <c r="B30" s="67" t="s">
        <v>154</v>
      </c>
      <c r="C30" s="38" t="s">
        <v>155</v>
      </c>
      <c r="D30" s="38" t="s">
        <v>23</v>
      </c>
      <c r="E30" s="15" t="s">
        <v>25</v>
      </c>
      <c r="F30" s="56">
        <v>43577</v>
      </c>
      <c r="G30" s="66">
        <v>0.06</v>
      </c>
      <c r="H30" s="38" t="s">
        <v>156</v>
      </c>
      <c r="I30" s="38" t="s">
        <v>24</v>
      </c>
      <c r="J30" s="67">
        <v>261.5</v>
      </c>
      <c r="K30" s="38">
        <v>285</v>
      </c>
      <c r="L30" s="38">
        <v>7</v>
      </c>
      <c r="M30" s="71">
        <f>J30-1.5*L30</f>
        <v>251</v>
      </c>
      <c r="N30" s="38">
        <v>500</v>
      </c>
      <c r="O30" s="73">
        <f>N30/(J30-M30)</f>
        <v>47.61904761904762</v>
      </c>
      <c r="P30" s="70">
        <f>(K30-J30)*O30</f>
        <v>1119.047619047619</v>
      </c>
    </row>
    <row r="31" spans="1:17" s="38" customFormat="1" x14ac:dyDescent="0.2">
      <c r="G31" s="66"/>
      <c r="J31" s="67"/>
    </row>
  </sheetData>
  <conditionalFormatting sqref="E21 E12:E16">
    <cfRule type="cellIs" dxfId="13" priority="9" stopIfTrue="1" operator="equal">
      <formula>"L"</formula>
    </cfRule>
    <cfRule type="cellIs" dxfId="12" priority="10" stopIfTrue="1" operator="equal">
      <formula>"s"</formula>
    </cfRule>
  </conditionalFormatting>
  <conditionalFormatting sqref="E17">
    <cfRule type="cellIs" dxfId="11" priority="11" stopIfTrue="1" operator="equal">
      <formula>"L"</formula>
    </cfRule>
    <cfRule type="cellIs" dxfId="10" priority="12" stopIfTrue="1" operator="equal">
      <formula>"s"</formula>
    </cfRule>
  </conditionalFormatting>
  <conditionalFormatting sqref="E18:E20 E22">
    <cfRule type="cellIs" dxfId="9" priority="15" stopIfTrue="1" operator="equal">
      <formula>"L"</formula>
    </cfRule>
    <cfRule type="cellIs" dxfId="8" priority="16" stopIfTrue="1" operator="equal">
      <formula>"s"</formula>
    </cfRule>
  </conditionalFormatting>
  <conditionalFormatting sqref="E23">
    <cfRule type="cellIs" dxfId="7" priority="7" stopIfTrue="1" operator="equal">
      <formula>"L"</formula>
    </cfRule>
    <cfRule type="cellIs" dxfId="6" priority="8" stopIfTrue="1" operator="equal">
      <formula>"s"</formula>
    </cfRule>
  </conditionalFormatting>
  <conditionalFormatting sqref="E25">
    <cfRule type="cellIs" dxfId="5" priority="5" stopIfTrue="1" operator="equal">
      <formula>"L"</formula>
    </cfRule>
    <cfRule type="cellIs" dxfId="4" priority="6" stopIfTrue="1" operator="equal">
      <formula>"s"</formula>
    </cfRule>
  </conditionalFormatting>
  <conditionalFormatting sqref="E28">
    <cfRule type="cellIs" dxfId="3" priority="3" stopIfTrue="1" operator="equal">
      <formula>"L"</formula>
    </cfRule>
    <cfRule type="cellIs" dxfId="2" priority="4" stopIfTrue="1" operator="equal">
      <formula>"s"</formula>
    </cfRule>
  </conditionalFormatting>
  <conditionalFormatting sqref="E30">
    <cfRule type="cellIs" dxfId="1" priority="1" stopIfTrue="1" operator="equal">
      <formula>"L"</formula>
    </cfRule>
    <cfRule type="cellIs" dxfId="0" priority="2" stopIfTrue="1" operator="equal">
      <formula>"s"</formula>
    </cfRule>
  </conditionalFormatting>
  <hyperlinks>
    <hyperlink ref="F1" r:id="rId1" xr:uid="{00000000-0004-0000-0100-000000000000}"/>
    <hyperlink ref="G1" r:id="rId2" display="Short int" xr:uid="{00000000-0004-0000-0100-000001000000}"/>
  </hyperlinks>
  <pageMargins left="0.7" right="0.7" top="0.75" bottom="0.75" header="0.3" footer="0.3"/>
  <pageSetup orientation="portrait" horizontalDpi="0" verticalDpi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TradeScan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Patricia Liu</cp:lastModifiedBy>
  <dcterms:created xsi:type="dcterms:W3CDTF">2018-07-25T18:22:37Z</dcterms:created>
  <dcterms:modified xsi:type="dcterms:W3CDTF">2021-11-30T16:19:16Z</dcterms:modified>
</cp:coreProperties>
</file>